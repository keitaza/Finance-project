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 LATITUDE E7450\Desktop\"/>
    </mc:Choice>
  </mc:AlternateContent>
  <xr:revisionPtr revIDLastSave="0" documentId="13_ncr:1_{C5381BE4-1E7F-4BC9-8670-AF0EAAA9BA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st year exam" sheetId="1" r:id="rId1"/>
    <sheet name="formulas used it" sheetId="2" r:id="rId2"/>
  </sheets>
  <definedNames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ChangeThreshold">0.01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2" i="1" l="1"/>
  <c r="B97" i="1"/>
  <c r="B91" i="1"/>
  <c r="B95" i="1" s="1"/>
  <c r="B99" i="1" s="1"/>
  <c r="N76" i="1"/>
  <c r="N78" i="1" s="1"/>
  <c r="M76" i="1"/>
  <c r="L76" i="1"/>
  <c r="L53" i="1"/>
  <c r="L50" i="1"/>
  <c r="L51" i="1" s="1"/>
  <c r="M45" i="1"/>
  <c r="L45" i="1"/>
  <c r="M46" i="1" s="1"/>
  <c r="K45" i="1"/>
  <c r="K46" i="1" s="1"/>
  <c r="J45" i="1"/>
  <c r="M41" i="1"/>
  <c r="M42" i="1" s="1"/>
  <c r="L26" i="1" s="1"/>
  <c r="L41" i="1"/>
  <c r="L42" i="1" s="1"/>
  <c r="K26" i="1" s="1"/>
  <c r="K41" i="1"/>
  <c r="K42" i="1" s="1"/>
  <c r="J26" i="1" s="1"/>
  <c r="J41" i="1"/>
  <c r="J42" i="1" s="1"/>
  <c r="I41" i="1"/>
  <c r="M38" i="1"/>
  <c r="L25" i="1" s="1"/>
  <c r="L38" i="1"/>
  <c r="K25" i="1" s="1"/>
  <c r="K38" i="1"/>
  <c r="F36" i="1"/>
  <c r="E36" i="1"/>
  <c r="D36" i="1"/>
  <c r="B36" i="1"/>
  <c r="F34" i="1"/>
  <c r="E34" i="1"/>
  <c r="D34" i="1"/>
  <c r="C34" i="1"/>
  <c r="M33" i="1"/>
  <c r="L33" i="1"/>
  <c r="M34" i="1" s="1"/>
  <c r="L24" i="1" s="1"/>
  <c r="K33" i="1"/>
  <c r="L34" i="1" s="1"/>
  <c r="K24" i="1" s="1"/>
  <c r="J33" i="1"/>
  <c r="K34" i="1" s="1"/>
  <c r="J24" i="1" s="1"/>
  <c r="L28" i="1"/>
  <c r="K28" i="1"/>
  <c r="J28" i="1"/>
  <c r="L27" i="1"/>
  <c r="K27" i="1"/>
  <c r="J27" i="1"/>
  <c r="J25" i="1"/>
  <c r="L23" i="1"/>
  <c r="K23" i="1"/>
  <c r="J23" i="1"/>
  <c r="L22" i="1"/>
  <c r="K22" i="1"/>
  <c r="K29" i="1" s="1"/>
  <c r="M60" i="1" s="1"/>
  <c r="J22" i="1"/>
  <c r="J29" i="1" s="1"/>
  <c r="L60" i="1" s="1"/>
  <c r="L5" i="1"/>
  <c r="K5" i="1"/>
  <c r="J5" i="1"/>
  <c r="I5" i="1"/>
  <c r="H5" i="1"/>
  <c r="L72" i="1" l="1"/>
  <c r="L80" i="1" s="1"/>
  <c r="L64" i="1"/>
  <c r="L66" i="1" s="1"/>
  <c r="M64" i="1"/>
  <c r="M66" i="1" s="1"/>
  <c r="M72" i="1"/>
  <c r="M80" i="1" s="1"/>
  <c r="M82" i="1" s="1"/>
  <c r="L29" i="1"/>
  <c r="N60" i="1" s="1"/>
  <c r="L57" i="1"/>
  <c r="B98" i="1"/>
  <c r="B100" i="1" s="1"/>
  <c r="I57" i="1"/>
  <c r="L55" i="1" s="1"/>
  <c r="L46" i="1"/>
  <c r="N62" i="1" l="1"/>
  <c r="N64" i="1" s="1"/>
  <c r="N66" i="1" s="1"/>
  <c r="O66" i="1" s="1"/>
  <c r="N72" i="1"/>
  <c r="N74" i="1" l="1"/>
  <c r="N80" i="1"/>
  <c r="N82" i="1" s="1"/>
  <c r="O82" i="1" s="1"/>
</calcChain>
</file>

<file path=xl/sharedStrings.xml><?xml version="1.0" encoding="utf-8"?>
<sst xmlns="http://schemas.openxmlformats.org/spreadsheetml/2006/main" count="161" uniqueCount="156">
  <si>
    <t>balance sheet</t>
  </si>
  <si>
    <t>income statement</t>
  </si>
  <si>
    <t>Cash</t>
  </si>
  <si>
    <t>Revenue</t>
  </si>
  <si>
    <t>Marketable sec</t>
  </si>
  <si>
    <t>Cost of Goods Sold</t>
  </si>
  <si>
    <t>A/R</t>
  </si>
  <si>
    <t>Gross Margin</t>
  </si>
  <si>
    <t>Inventory</t>
  </si>
  <si>
    <t>R&amp;D</t>
  </si>
  <si>
    <t xml:space="preserve">prepaid rent </t>
  </si>
  <si>
    <t>Asset Impairment charge</t>
  </si>
  <si>
    <t>prepaid expenses</t>
  </si>
  <si>
    <t>Marketing</t>
  </si>
  <si>
    <t>sga</t>
  </si>
  <si>
    <t xml:space="preserve">other current assets </t>
  </si>
  <si>
    <t>depreciation</t>
  </si>
  <si>
    <t>total currents assets</t>
  </si>
  <si>
    <t>Amortization</t>
  </si>
  <si>
    <t>PPE</t>
  </si>
  <si>
    <t>Operating Expenses</t>
  </si>
  <si>
    <t>Accum. Depreciation</t>
  </si>
  <si>
    <t>Other Expenses</t>
  </si>
  <si>
    <t>ppe net</t>
  </si>
  <si>
    <t>Operating Income(EBIT)</t>
  </si>
  <si>
    <t>Intangible assets</t>
  </si>
  <si>
    <t>Interest Expense</t>
  </si>
  <si>
    <t>Other assets</t>
  </si>
  <si>
    <t>Interest Income</t>
  </si>
  <si>
    <t>Total assets</t>
  </si>
  <si>
    <t>Income before taxes</t>
  </si>
  <si>
    <t>Income tax expense</t>
  </si>
  <si>
    <t>AP</t>
  </si>
  <si>
    <t>Net Income</t>
  </si>
  <si>
    <t>Accured expenses</t>
  </si>
  <si>
    <t>customers deposits</t>
  </si>
  <si>
    <t>Accured liabilities</t>
  </si>
  <si>
    <t>ebit</t>
  </si>
  <si>
    <t>Current port LT D</t>
  </si>
  <si>
    <t>taxes = income tax expense</t>
  </si>
  <si>
    <t>Total current liabilities</t>
  </si>
  <si>
    <t>(-)variation required Cash</t>
  </si>
  <si>
    <t>Non cash expense</t>
  </si>
  <si>
    <t>Long term debt</t>
  </si>
  <si>
    <t>variation working capital</t>
  </si>
  <si>
    <t>Non current Liab.</t>
  </si>
  <si>
    <t xml:space="preserve">taxes shield </t>
  </si>
  <si>
    <t>Total Liabilities</t>
  </si>
  <si>
    <t xml:space="preserve">capex </t>
  </si>
  <si>
    <t xml:space="preserve">free Cash flow </t>
  </si>
  <si>
    <t>Common stock</t>
  </si>
  <si>
    <t xml:space="preserve">step 1 </t>
  </si>
  <si>
    <t>Retained earnings</t>
  </si>
  <si>
    <t xml:space="preserve">required cash </t>
  </si>
  <si>
    <t>Total equity</t>
  </si>
  <si>
    <t xml:space="preserve">variation </t>
  </si>
  <si>
    <t>Total Liab &amp; Equity</t>
  </si>
  <si>
    <t>step 2</t>
  </si>
  <si>
    <t xml:space="preserve">non cash expense </t>
  </si>
  <si>
    <t>Dividends</t>
  </si>
  <si>
    <t>impairement + depr and amort</t>
  </si>
  <si>
    <t xml:space="preserve">statuary tax </t>
  </si>
  <si>
    <t>step3</t>
  </si>
  <si>
    <t>rua</t>
  </si>
  <si>
    <t>working Capital</t>
  </si>
  <si>
    <t>rf now</t>
  </si>
  <si>
    <t>variation</t>
  </si>
  <si>
    <t>rf overtime</t>
  </si>
  <si>
    <t>market return</t>
  </si>
  <si>
    <t xml:space="preserve">step 4 </t>
  </si>
  <si>
    <t>market value of Equity</t>
  </si>
  <si>
    <t xml:space="preserve">capex brute </t>
  </si>
  <si>
    <t>beta</t>
  </si>
  <si>
    <t xml:space="preserve">variation of capex </t>
  </si>
  <si>
    <t>calcul methode wacc</t>
  </si>
  <si>
    <t>tax statutory</t>
  </si>
  <si>
    <t xml:space="preserve">total debt </t>
  </si>
  <si>
    <t>ter(g)</t>
  </si>
  <si>
    <t>Rd= imteret expense/total debt</t>
  </si>
  <si>
    <t>rf</t>
  </si>
  <si>
    <t xml:space="preserve">market return </t>
  </si>
  <si>
    <t>Re=rf+beta(Rm-Rfovertime)</t>
  </si>
  <si>
    <t xml:space="preserve">rf over the time </t>
  </si>
  <si>
    <t xml:space="preserve">beta </t>
  </si>
  <si>
    <t>value of the company</t>
  </si>
  <si>
    <t>market value of equity</t>
  </si>
  <si>
    <t>wacc=( rd*(dettes)/Value firm)(1-Tax statutory)+(RE*(market value of equity/(value firm))</t>
  </si>
  <si>
    <t>fcf</t>
  </si>
  <si>
    <t xml:space="preserve">ter </t>
  </si>
  <si>
    <t>total</t>
  </si>
  <si>
    <t xml:space="preserve">discount </t>
  </si>
  <si>
    <t xml:space="preserve">VPN methode </t>
  </si>
  <si>
    <t xml:space="preserve">shield </t>
  </si>
  <si>
    <t xml:space="preserve">ter shield </t>
  </si>
  <si>
    <t xml:space="preserve">total </t>
  </si>
  <si>
    <t>--- CORRECTED VALUATION MODEL ---</t>
  </si>
  <si>
    <t>EBIT</t>
  </si>
  <si>
    <t>Taxes</t>
  </si>
  <si>
    <t>Non-Cash Expenses</t>
  </si>
  <si>
    <t>Δ Working Capital</t>
  </si>
  <si>
    <t>Capex</t>
  </si>
  <si>
    <t>Free Cash Flow</t>
  </si>
  <si>
    <t>WACC</t>
  </si>
  <si>
    <t>Growth (g)</t>
  </si>
  <si>
    <t>Terminal Value</t>
  </si>
  <si>
    <t>PV FCF1</t>
  </si>
  <si>
    <t>PV FCF2</t>
  </si>
  <si>
    <t>PV Terminal Value</t>
  </si>
  <si>
    <t>Enterprise Value</t>
  </si>
  <si>
    <t>1) Income Statement Logic</t>
  </si>
  <si>
    <t>Revenue − COGS = Gross Profit</t>
  </si>
  <si>
    <r>
      <t xml:space="preserve">Gross Profit − Operating Expenses = </t>
    </r>
    <r>
      <rPr>
        <b/>
        <sz val="11"/>
        <color theme="1"/>
        <rFont val="Calibri"/>
        <family val="2"/>
        <scheme val="minor"/>
      </rPr>
      <t>EBIT</t>
    </r>
  </si>
  <si>
    <t>EBIT − Interest = EBT</t>
  </si>
  <si>
    <r>
      <t xml:space="preserve">EBT − Taxes = </t>
    </r>
    <r>
      <rPr>
        <b/>
        <sz val="11"/>
        <color theme="1"/>
        <rFont val="Calibri"/>
        <family val="2"/>
        <scheme val="minor"/>
      </rPr>
      <t>Net Income</t>
    </r>
  </si>
  <si>
    <t>2) Taxes</t>
  </si>
  <si>
    <t>Taxes = EBT × Tax Rate</t>
  </si>
  <si>
    <t>3) Non-Cash Expenses</t>
  </si>
  <si>
    <t>Non-Cash = Depreciation + Amortization + Impairment</t>
  </si>
  <si>
    <t>4) Working Capital</t>
  </si>
  <si>
    <t>Net Working Capital (WC)</t>
  </si>
  <si>
    <t>WC = Current Assets − Current Liabilities</t>
  </si>
  <si>
    <t>Variation in WC</t>
  </si>
  <si>
    <t>ΔWC = WCₜ − WCₜ₋₁</t>
  </si>
  <si>
    <t>5) Capital Expenditure (Capex)</t>
  </si>
  <si>
    <t>Capex = PPEₜ − PPEₜ₋₁ + Depreciation</t>
  </si>
  <si>
    <t>6) Free Cash Flow (FCF)</t>
  </si>
  <si>
    <t>FCF = EBIT − Taxes + Non-Cash − ΔWC − Capex</t>
  </si>
  <si>
    <t>7) Cost of Capital</t>
  </si>
  <si>
    <t>Cost of Equity (CAPM)</t>
  </si>
  <si>
    <t>Re = rf + β(Rm − rf)</t>
  </si>
  <si>
    <t>Cost of Debt</t>
  </si>
  <si>
    <t>Rd = Interest Expense / Total Debt</t>
  </si>
  <si>
    <t>Firm Value</t>
  </si>
  <si>
    <t>V = E + D</t>
  </si>
  <si>
    <t>8) WACC</t>
  </si>
  <si>
    <t>WACC = Rd × (D/V) × (1 − Tax) + Re × (E/V)</t>
  </si>
  <si>
    <t>9) Terminal Value (Gordon Growth Model)</t>
  </si>
  <si>
    <t>TV = FCFₙ × (1 + g) / (WACC − g)</t>
  </si>
  <si>
    <t>10) Discounting</t>
  </si>
  <si>
    <t>PV = Cash Flow / (1 + WACC)ᵗ</t>
  </si>
  <si>
    <t>11) Enterprise Value (DCF)</t>
  </si>
  <si>
    <t>EV = Σ PV(FCFₜ) + PV(TV)</t>
  </si>
  <si>
    <t>12) Tax Shield (VPN Method)</t>
  </si>
  <si>
    <t>Tax Shield = Interest × Tax Rate</t>
  </si>
  <si>
    <t>PV(Tax Shield) = Tax Shield / (WACC − g)</t>
  </si>
  <si>
    <t>Valuation Flow Logic</t>
  </si>
  <si>
    <t>Financial Statements</t>
  </si>
  <si>
    <t>→ EBIT</t>
  </si>
  <si>
    <t>→ Free Cash Flow</t>
  </si>
  <si>
    <t>→ WACC</t>
  </si>
  <si>
    <t>→ Terminal Value</t>
  </si>
  <si>
    <t>→ Discounting</t>
  </si>
  <si>
    <t>→ Enterprise Value</t>
  </si>
  <si>
    <t>Summary Core Equation</t>
  </si>
  <si>
    <t>Enterprise Value = Σ [ (EBIT − Taxes + NonCash − ΔWC − Capex) / (1+WACC)ᵗ ] + TV/(1+WACC)ⁿ</t>
  </si>
  <si>
    <t xml:space="preserve">Corporate Finance Valuation Model –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</si>
</sst>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9" fontId="0" fillId="0" borderId="0" xfId="0" applyNumberFormat="1"/>
    <xf numFmtId="10" fontId="0" fillId="0" borderId="0" xfId="0" applyNumberFormat="1"/>
    <xf numFmtId="0" fontId="1" fillId="0" borderId="0" xfId="0" applyFont="1"/>
    <xf numFmtId="44" fontId="0" fillId="0" borderId="0" xfId="0" applyNumberFormat="1"/>
    <xf numFmtId="39" fontId="0" fillId="0" borderId="0" xfId="0" applyNumberFormat="1"/>
    <xf numFmtId="1" fontId="0" fillId="0" borderId="0" xfId="0" applyNumberFormat="1"/>
    <xf numFmtId="10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44" fontId="2" fillId="0" borderId="0" xfId="0" applyNumberFormat="1" applyFont="1"/>
    <xf numFmtId="0" fontId="2" fillId="2" borderId="0" xfId="0" applyFont="1" applyFill="1"/>
    <xf numFmtId="0" fontId="0" fillId="0" borderId="1" xfId="0" applyBorder="1"/>
    <xf numFmtId="1" fontId="3" fillId="0" borderId="0" xfId="0" applyNumberFormat="1" applyFont="1"/>
    <xf numFmtId="1" fontId="0" fillId="0" borderId="1" xfId="0" applyNumberFormat="1" applyBorder="1"/>
    <xf numFmtId="44" fontId="0" fillId="0" borderId="1" xfId="0" applyNumberFormat="1" applyBorder="1"/>
    <xf numFmtId="44" fontId="0" fillId="2" borderId="0" xfId="0" applyNumberFormat="1" applyFill="1"/>
    <xf numFmtId="37" fontId="0" fillId="0" borderId="1" xfId="0" applyNumberFormat="1" applyBorder="1"/>
    <xf numFmtId="0" fontId="0" fillId="3" borderId="1" xfId="0" applyFill="1" applyBorder="1"/>
    <xf numFmtId="44" fontId="0" fillId="3" borderId="1" xfId="0" applyNumberFormat="1" applyFill="1" applyBorder="1"/>
    <xf numFmtId="44" fontId="4" fillId="0" borderId="0" xfId="0" applyNumberFormat="1" applyFont="1"/>
    <xf numFmtId="0" fontId="0" fillId="2" borderId="0" xfId="0" applyFill="1"/>
    <xf numFmtId="0" fontId="0" fillId="4" borderId="0" xfId="0" applyFill="1"/>
    <xf numFmtId="10" fontId="0" fillId="0" borderId="1" xfId="0" applyNumberFormat="1" applyBorder="1"/>
    <xf numFmtId="0" fontId="5" fillId="0" borderId="1" xfId="0" applyFont="1" applyBorder="1"/>
    <xf numFmtId="44" fontId="1" fillId="0" borderId="0" xfId="0" applyNumberFormat="1" applyFont="1"/>
    <xf numFmtId="164" fontId="0" fillId="0" borderId="0" xfId="0" applyNumberFormat="1"/>
    <xf numFmtId="164" fontId="5" fillId="0" borderId="1" xfId="0" applyNumberFormat="1" applyFont="1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"/>
  <sheetViews>
    <sheetView tabSelected="1" topLeftCell="G59" zoomScale="81" workbookViewId="0">
      <selection activeCell="L83" sqref="L83"/>
    </sheetView>
  </sheetViews>
  <sheetFormatPr defaultRowHeight="14.5" x14ac:dyDescent="0.35"/>
  <cols>
    <col min="1" max="1" width="20.36328125" customWidth="1"/>
    <col min="2" max="6" width="14.36328125" bestFit="1" customWidth="1"/>
    <col min="7" max="7" width="24.90625" customWidth="1"/>
    <col min="8" max="8" width="25.81640625" customWidth="1"/>
    <col min="9" max="9" width="14.6328125" bestFit="1" customWidth="1"/>
    <col min="10" max="10" width="22.08984375" customWidth="1"/>
    <col min="11" max="11" width="44.81640625" customWidth="1"/>
    <col min="12" max="12" width="24.26953125" customWidth="1"/>
    <col min="13" max="13" width="17.6328125" customWidth="1"/>
    <col min="14" max="14" width="21.81640625" customWidth="1"/>
    <col min="15" max="15" width="16.453125" customWidth="1"/>
  </cols>
  <sheetData>
    <row r="1" spans="1:12" x14ac:dyDescent="0.35">
      <c r="E1" t="s">
        <v>0</v>
      </c>
      <c r="J1" t="s">
        <v>1</v>
      </c>
    </row>
    <row r="2" spans="1:12" x14ac:dyDescent="0.35">
      <c r="B2">
        <v>2016</v>
      </c>
      <c r="C2">
        <v>2017</v>
      </c>
      <c r="D2">
        <v>2018</v>
      </c>
      <c r="E2">
        <v>2019</v>
      </c>
      <c r="F2">
        <v>2020</v>
      </c>
      <c r="H2">
        <v>2016</v>
      </c>
      <c r="I2">
        <v>2017</v>
      </c>
      <c r="J2">
        <v>2018</v>
      </c>
      <c r="K2">
        <v>2019</v>
      </c>
      <c r="L2">
        <v>2020</v>
      </c>
    </row>
    <row r="3" spans="1:12" x14ac:dyDescent="0.35">
      <c r="A3" t="s">
        <v>2</v>
      </c>
      <c r="B3" s="4">
        <v>762500</v>
      </c>
      <c r="C3" s="10">
        <v>785375</v>
      </c>
      <c r="D3" s="10">
        <v>848205</v>
      </c>
      <c r="E3" s="10">
        <v>890615</v>
      </c>
      <c r="F3" s="10">
        <v>917334</v>
      </c>
      <c r="G3" t="s">
        <v>3</v>
      </c>
      <c r="H3" s="4">
        <v>15250000</v>
      </c>
      <c r="I3" s="10">
        <v>15707500</v>
      </c>
      <c r="J3" s="10">
        <v>16964100</v>
      </c>
      <c r="K3" s="10">
        <v>17812305</v>
      </c>
      <c r="L3" s="10">
        <v>18346674</v>
      </c>
    </row>
    <row r="4" spans="1:12" x14ac:dyDescent="0.35">
      <c r="A4" t="s">
        <v>4</v>
      </c>
      <c r="B4" s="4">
        <v>525013</v>
      </c>
      <c r="C4" s="10">
        <v>486687</v>
      </c>
      <c r="D4" s="10">
        <v>449915</v>
      </c>
      <c r="E4" s="10">
        <v>649564</v>
      </c>
      <c r="F4" s="10">
        <v>744046</v>
      </c>
      <c r="G4" t="s">
        <v>5</v>
      </c>
      <c r="H4" s="4">
        <v>9607500</v>
      </c>
      <c r="I4" s="10">
        <v>9738650</v>
      </c>
      <c r="J4" s="10">
        <v>10517742</v>
      </c>
      <c r="K4" s="10">
        <v>11221752</v>
      </c>
      <c r="L4" s="10">
        <v>11558405</v>
      </c>
    </row>
    <row r="5" spans="1:12" x14ac:dyDescent="0.35">
      <c r="A5" t="s">
        <v>6</v>
      </c>
      <c r="B5" s="4">
        <v>1525000</v>
      </c>
      <c r="C5" s="10">
        <v>1727825</v>
      </c>
      <c r="D5" s="10">
        <v>1696410</v>
      </c>
      <c r="E5" s="10">
        <v>2048415</v>
      </c>
      <c r="F5" s="10">
        <v>2109868</v>
      </c>
      <c r="G5" t="s">
        <v>7</v>
      </c>
      <c r="H5" s="4">
        <f>H3-H4</f>
        <v>5642500</v>
      </c>
      <c r="I5" s="10">
        <f>I3-I4</f>
        <v>5968850</v>
      </c>
      <c r="J5" s="10">
        <f>J3-J4</f>
        <v>6446358</v>
      </c>
      <c r="K5" s="10">
        <f>K3-K4</f>
        <v>6590553</v>
      </c>
      <c r="L5" s="10">
        <f>L3-L4</f>
        <v>6788269</v>
      </c>
    </row>
    <row r="6" spans="1:12" x14ac:dyDescent="0.35">
      <c r="A6" t="s">
        <v>8</v>
      </c>
      <c r="B6" s="4">
        <v>762000</v>
      </c>
      <c r="C6" s="10">
        <v>942450</v>
      </c>
      <c r="D6" s="10">
        <v>848205</v>
      </c>
      <c r="E6" s="10">
        <v>1068738</v>
      </c>
      <c r="F6" s="10">
        <v>1100800</v>
      </c>
      <c r="G6" t="s">
        <v>9</v>
      </c>
      <c r="H6" s="4">
        <v>457500</v>
      </c>
      <c r="I6" s="10">
        <v>471255</v>
      </c>
      <c r="J6" s="10">
        <v>508923</v>
      </c>
      <c r="K6" s="10">
        <v>534369</v>
      </c>
      <c r="L6" s="10">
        <v>550400</v>
      </c>
    </row>
    <row r="7" spans="1:12" x14ac:dyDescent="0.35">
      <c r="A7" t="s">
        <v>10</v>
      </c>
      <c r="B7" s="4">
        <v>152500</v>
      </c>
      <c r="C7" s="10">
        <v>157075</v>
      </c>
      <c r="D7" s="10">
        <v>169641</v>
      </c>
      <c r="E7" s="10">
        <v>178123</v>
      </c>
      <c r="F7" s="10">
        <v>183467</v>
      </c>
      <c r="G7" t="s">
        <v>11</v>
      </c>
      <c r="H7" s="4">
        <v>0</v>
      </c>
      <c r="I7" s="10">
        <v>25000</v>
      </c>
      <c r="J7" s="4">
        <v>0</v>
      </c>
      <c r="K7" s="10">
        <v>75000</v>
      </c>
      <c r="L7" s="4">
        <v>0</v>
      </c>
    </row>
    <row r="8" spans="1:12" x14ac:dyDescent="0.35">
      <c r="A8" t="s">
        <v>12</v>
      </c>
      <c r="B8" s="4">
        <v>381250</v>
      </c>
      <c r="C8" s="10">
        <v>392688</v>
      </c>
      <c r="D8" s="10">
        <v>424103</v>
      </c>
      <c r="E8" s="10">
        <v>445308</v>
      </c>
      <c r="F8" s="10">
        <v>458667</v>
      </c>
      <c r="G8" t="s">
        <v>13</v>
      </c>
      <c r="H8" s="4">
        <v>152500</v>
      </c>
      <c r="I8" s="10">
        <v>157075</v>
      </c>
      <c r="J8" s="10">
        <v>169641</v>
      </c>
      <c r="K8" s="10">
        <v>178123</v>
      </c>
      <c r="L8" s="10">
        <v>183467</v>
      </c>
    </row>
    <row r="9" spans="1:12" x14ac:dyDescent="0.35">
      <c r="B9" s="4"/>
      <c r="C9" s="4"/>
      <c r="D9" s="4"/>
      <c r="E9" s="4"/>
      <c r="F9" s="4"/>
      <c r="G9" t="s">
        <v>14</v>
      </c>
      <c r="H9" s="4">
        <v>3050000</v>
      </c>
      <c r="I9" s="10">
        <v>3141500</v>
      </c>
      <c r="J9" s="10">
        <v>3392820</v>
      </c>
      <c r="K9" s="4">
        <v>0</v>
      </c>
      <c r="L9" s="4">
        <v>0</v>
      </c>
    </row>
    <row r="10" spans="1:12" x14ac:dyDescent="0.35">
      <c r="A10" t="s">
        <v>15</v>
      </c>
      <c r="B10" s="10">
        <v>1525000</v>
      </c>
      <c r="C10" s="10">
        <v>1570750</v>
      </c>
      <c r="D10" s="10">
        <v>1696410</v>
      </c>
      <c r="E10" s="10">
        <v>1781231</v>
      </c>
      <c r="F10" s="10">
        <v>1834667</v>
      </c>
      <c r="G10" t="s">
        <v>16</v>
      </c>
      <c r="H10" s="4">
        <v>587125</v>
      </c>
      <c r="I10" s="10">
        <v>604739</v>
      </c>
      <c r="J10" s="10">
        <v>653118</v>
      </c>
      <c r="K10" s="10">
        <v>685774</v>
      </c>
      <c r="L10" s="10">
        <v>715520</v>
      </c>
    </row>
    <row r="11" spans="1:12" x14ac:dyDescent="0.35">
      <c r="A11" t="s">
        <v>17</v>
      </c>
      <c r="B11" s="10">
        <v>5633763</v>
      </c>
      <c r="C11" s="10">
        <v>6062850</v>
      </c>
      <c r="D11" s="10">
        <v>6132889</v>
      </c>
      <c r="E11" s="10">
        <v>7061994</v>
      </c>
      <c r="F11" s="10">
        <v>7348849</v>
      </c>
      <c r="G11" t="s">
        <v>18</v>
      </c>
      <c r="H11" s="4">
        <v>25000</v>
      </c>
      <c r="I11" s="10">
        <v>26000</v>
      </c>
      <c r="J11" s="10">
        <v>26500</v>
      </c>
      <c r="K11" s="10">
        <v>27500</v>
      </c>
      <c r="L11" s="10">
        <v>28000</v>
      </c>
    </row>
    <row r="12" spans="1:12" x14ac:dyDescent="0.35">
      <c r="A12" t="s">
        <v>19</v>
      </c>
      <c r="B12" s="10">
        <v>11742500</v>
      </c>
      <c r="C12" s="10">
        <v>12094775</v>
      </c>
      <c r="D12" s="10">
        <v>13062357</v>
      </c>
      <c r="E12" s="10">
        <v>13715475</v>
      </c>
      <c r="F12" s="10">
        <v>14310406</v>
      </c>
      <c r="G12" t="s">
        <v>20</v>
      </c>
      <c r="H12" s="4">
        <v>0</v>
      </c>
      <c r="I12" s="4">
        <v>0</v>
      </c>
      <c r="J12" s="4">
        <v>0</v>
      </c>
      <c r="K12" s="10">
        <v>3740584</v>
      </c>
      <c r="L12" s="10">
        <v>3852802</v>
      </c>
    </row>
    <row r="13" spans="1:12" x14ac:dyDescent="0.35">
      <c r="A13" t="s">
        <v>21</v>
      </c>
      <c r="B13" s="10">
        <v>7045500</v>
      </c>
      <c r="C13" s="10">
        <v>7650239</v>
      </c>
      <c r="D13" s="10">
        <v>8303357</v>
      </c>
      <c r="E13" s="10">
        <v>8989130</v>
      </c>
      <c r="F13" s="10">
        <v>9704651</v>
      </c>
      <c r="G13" t="s">
        <v>22</v>
      </c>
      <c r="H13" s="4">
        <v>76250</v>
      </c>
      <c r="I13" s="10">
        <v>78538</v>
      </c>
      <c r="J13" s="10">
        <v>84821</v>
      </c>
      <c r="K13" s="10">
        <v>89062</v>
      </c>
      <c r="L13" s="10">
        <v>91733</v>
      </c>
    </row>
    <row r="14" spans="1:12" x14ac:dyDescent="0.35">
      <c r="A14" t="s">
        <v>23</v>
      </c>
      <c r="B14" s="10">
        <v>4697000</v>
      </c>
      <c r="C14" s="10">
        <v>4444536</v>
      </c>
      <c r="D14" s="10">
        <v>4759000</v>
      </c>
      <c r="E14" s="10">
        <v>4726345</v>
      </c>
      <c r="F14" s="10">
        <v>4605755</v>
      </c>
      <c r="G14" s="9" t="s">
        <v>24</v>
      </c>
      <c r="H14" s="10">
        <v>1294125</v>
      </c>
      <c r="I14" s="10">
        <v>1464774</v>
      </c>
      <c r="J14" s="10">
        <v>1610536</v>
      </c>
      <c r="K14" s="10">
        <v>1260141</v>
      </c>
      <c r="L14" s="10">
        <v>1336347</v>
      </c>
    </row>
    <row r="15" spans="1:12" x14ac:dyDescent="0.35">
      <c r="A15" t="s">
        <v>25</v>
      </c>
      <c r="B15" s="10">
        <v>10067500</v>
      </c>
      <c r="C15" s="10">
        <v>1099525</v>
      </c>
      <c r="D15" s="10">
        <v>1187487</v>
      </c>
      <c r="E15" s="10">
        <v>1246861</v>
      </c>
      <c r="F15" s="10">
        <v>1284267</v>
      </c>
      <c r="G15" t="s">
        <v>26</v>
      </c>
      <c r="H15" s="10">
        <v>112500</v>
      </c>
      <c r="I15" s="10">
        <v>120750</v>
      </c>
      <c r="J15" s="10">
        <v>136875</v>
      </c>
      <c r="K15" s="10">
        <v>161250</v>
      </c>
      <c r="L15" s="10">
        <v>157500</v>
      </c>
    </row>
    <row r="16" spans="1:12" x14ac:dyDescent="0.35">
      <c r="A16" t="s">
        <v>27</v>
      </c>
      <c r="B16" s="10">
        <v>915000</v>
      </c>
      <c r="C16" s="10">
        <v>942450</v>
      </c>
      <c r="D16" s="10">
        <v>1017846</v>
      </c>
      <c r="E16" s="10">
        <v>1068738</v>
      </c>
      <c r="F16" s="10">
        <v>1100800</v>
      </c>
      <c r="G16" t="s">
        <v>28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</row>
    <row r="17" spans="1:13" x14ac:dyDescent="0.35">
      <c r="A17" t="s">
        <v>29</v>
      </c>
      <c r="B17" s="10">
        <v>12313263</v>
      </c>
      <c r="C17" s="10">
        <v>12549361</v>
      </c>
      <c r="D17" s="10">
        <v>13097222</v>
      </c>
      <c r="E17" s="10">
        <v>14103938</v>
      </c>
      <c r="F17" s="10">
        <v>14339672</v>
      </c>
      <c r="G17" t="s">
        <v>30</v>
      </c>
      <c r="H17" s="10">
        <v>181625</v>
      </c>
      <c r="I17" s="10">
        <v>1334024</v>
      </c>
      <c r="J17" s="10">
        <v>1473661</v>
      </c>
      <c r="K17" s="10">
        <v>1098891</v>
      </c>
      <c r="L17" s="10">
        <v>1208847</v>
      </c>
    </row>
    <row r="18" spans="1:13" x14ac:dyDescent="0.35">
      <c r="B18" s="4"/>
      <c r="C18" s="4"/>
      <c r="D18" s="4"/>
      <c r="E18" s="4"/>
      <c r="G18" t="s">
        <v>31</v>
      </c>
      <c r="H18" s="10">
        <v>413569</v>
      </c>
      <c r="I18" s="10">
        <v>470408</v>
      </c>
      <c r="J18" s="10">
        <v>279996</v>
      </c>
      <c r="K18" s="10">
        <v>208789</v>
      </c>
      <c r="L18" s="10">
        <v>229681</v>
      </c>
    </row>
    <row r="19" spans="1:13" x14ac:dyDescent="0.35">
      <c r="A19" t="s">
        <v>32</v>
      </c>
      <c r="B19" s="10">
        <v>1525000</v>
      </c>
      <c r="C19" s="10">
        <v>1727825</v>
      </c>
      <c r="D19" s="10">
        <v>1781231</v>
      </c>
      <c r="E19" s="10">
        <v>1870292</v>
      </c>
      <c r="F19" s="10">
        <v>1981441</v>
      </c>
      <c r="G19" t="s">
        <v>33</v>
      </c>
      <c r="H19" s="10">
        <v>768056</v>
      </c>
      <c r="I19" s="10">
        <v>873615</v>
      </c>
      <c r="J19" s="10">
        <v>1193665</v>
      </c>
      <c r="K19" s="10">
        <v>890102</v>
      </c>
      <c r="L19" s="10">
        <v>976166</v>
      </c>
    </row>
    <row r="20" spans="1:13" x14ac:dyDescent="0.35">
      <c r="A20" t="s">
        <v>34</v>
      </c>
      <c r="B20" s="10">
        <v>762500</v>
      </c>
      <c r="C20" s="10">
        <v>785375</v>
      </c>
      <c r="D20" s="10">
        <v>848205</v>
      </c>
      <c r="E20" s="10">
        <v>890615</v>
      </c>
      <c r="F20" s="10">
        <v>917334</v>
      </c>
      <c r="J20" s="13">
        <v>2018</v>
      </c>
      <c r="K20" s="13">
        <v>2019</v>
      </c>
      <c r="L20" s="13">
        <v>2020</v>
      </c>
    </row>
    <row r="21" spans="1:13" x14ac:dyDescent="0.35">
      <c r="A21" t="s">
        <v>35</v>
      </c>
      <c r="B21" s="10">
        <v>610000</v>
      </c>
      <c r="C21" s="10">
        <v>628300</v>
      </c>
      <c r="D21" s="10">
        <v>678564</v>
      </c>
      <c r="E21" s="10">
        <v>712492</v>
      </c>
      <c r="F21" s="10">
        <v>733867</v>
      </c>
      <c r="J21" s="5">
        <v>1</v>
      </c>
      <c r="K21" s="5">
        <v>2</v>
      </c>
      <c r="L21" s="5">
        <v>3</v>
      </c>
    </row>
    <row r="22" spans="1:13" x14ac:dyDescent="0.35">
      <c r="A22" t="s">
        <v>36</v>
      </c>
      <c r="B22" s="10">
        <v>838750</v>
      </c>
      <c r="C22" s="10">
        <v>863913</v>
      </c>
      <c r="D22" s="10">
        <v>933026</v>
      </c>
      <c r="E22" s="10">
        <v>979677</v>
      </c>
      <c r="F22" s="10">
        <v>1009067</v>
      </c>
      <c r="H22" t="s">
        <v>37</v>
      </c>
      <c r="J22" s="4">
        <f>J14</f>
        <v>1610536</v>
      </c>
      <c r="K22" s="4">
        <f>K14</f>
        <v>1260141</v>
      </c>
      <c r="L22" s="4">
        <f>L14</f>
        <v>1336347</v>
      </c>
    </row>
    <row r="23" spans="1:13" x14ac:dyDescent="0.35">
      <c r="A23" t="s">
        <v>38</v>
      </c>
      <c r="B23" s="10">
        <v>0</v>
      </c>
      <c r="C23" s="10">
        <v>210000</v>
      </c>
      <c r="D23" s="10">
        <v>0</v>
      </c>
      <c r="E23" s="10">
        <v>200000</v>
      </c>
      <c r="F23" s="10">
        <v>0</v>
      </c>
      <c r="H23" s="11" t="s">
        <v>39</v>
      </c>
      <c r="J23" s="4">
        <f>J18</f>
        <v>279996</v>
      </c>
      <c r="K23" s="4">
        <f>K18</f>
        <v>208789</v>
      </c>
      <c r="L23" s="4">
        <f>L18</f>
        <v>229681</v>
      </c>
    </row>
    <row r="24" spans="1:13" x14ac:dyDescent="0.35">
      <c r="A24" t="s">
        <v>40</v>
      </c>
      <c r="B24" s="10">
        <v>3736250</v>
      </c>
      <c r="C24" s="10">
        <v>4215413</v>
      </c>
      <c r="D24" s="10">
        <v>4241025</v>
      </c>
      <c r="E24" s="10">
        <v>4653076</v>
      </c>
      <c r="F24" s="10">
        <v>4641709</v>
      </c>
      <c r="H24" t="s">
        <v>41</v>
      </c>
      <c r="J24" s="16">
        <f>K34</f>
        <v>62830</v>
      </c>
      <c r="K24" s="16">
        <f>L34</f>
        <v>42410</v>
      </c>
      <c r="L24" s="16">
        <f>M34</f>
        <v>26719</v>
      </c>
    </row>
    <row r="25" spans="1:13" x14ac:dyDescent="0.35">
      <c r="B25" s="4"/>
      <c r="C25" s="4"/>
      <c r="D25" s="4"/>
      <c r="E25" s="4"/>
      <c r="H25" t="s">
        <v>42</v>
      </c>
      <c r="J25" s="4">
        <f>K38</f>
        <v>679618</v>
      </c>
      <c r="K25" s="4">
        <f>L38</f>
        <v>788274</v>
      </c>
      <c r="L25" s="4">
        <f>M38</f>
        <v>743520</v>
      </c>
    </row>
    <row r="26" spans="1:13" x14ac:dyDescent="0.35">
      <c r="A26" t="s">
        <v>43</v>
      </c>
      <c r="B26" s="10">
        <v>1500000</v>
      </c>
      <c r="C26" s="10">
        <v>1400000</v>
      </c>
      <c r="D26" s="10">
        <v>1825000</v>
      </c>
      <c r="E26" s="10">
        <v>1950000</v>
      </c>
      <c r="F26" s="10">
        <v>2100000</v>
      </c>
      <c r="H26" s="9" t="s">
        <v>44</v>
      </c>
      <c r="J26" s="4">
        <f>K42</f>
        <v>96727</v>
      </c>
      <c r="K26" s="4">
        <f>L42</f>
        <v>585261</v>
      </c>
      <c r="L26" s="4">
        <f>M42</f>
        <v>46489</v>
      </c>
    </row>
    <row r="27" spans="1:13" x14ac:dyDescent="0.35">
      <c r="A27" t="s">
        <v>45</v>
      </c>
      <c r="B27" s="4">
        <v>0</v>
      </c>
      <c r="C27" s="4">
        <v>125000</v>
      </c>
      <c r="D27" s="4">
        <v>0</v>
      </c>
      <c r="E27" s="4">
        <v>0</v>
      </c>
      <c r="F27" s="4">
        <v>0</v>
      </c>
      <c r="H27" s="9" t="s">
        <v>46</v>
      </c>
      <c r="J27" s="20">
        <f>J15*0.21</f>
        <v>28743.75</v>
      </c>
      <c r="K27" s="20">
        <f>K15*0.21</f>
        <v>33862.5</v>
      </c>
      <c r="L27" s="20">
        <f>L15*0.21</f>
        <v>33075</v>
      </c>
    </row>
    <row r="28" spans="1:13" x14ac:dyDescent="0.35">
      <c r="A28" t="s">
        <v>47</v>
      </c>
      <c r="B28" s="10">
        <v>5236250</v>
      </c>
      <c r="C28" s="10">
        <v>5740413</v>
      </c>
      <c r="D28" s="10">
        <v>6066025</v>
      </c>
      <c r="E28" s="10">
        <v>6603076</v>
      </c>
      <c r="F28" s="10">
        <v>6741709</v>
      </c>
      <c r="H28" t="s">
        <v>48</v>
      </c>
      <c r="J28" s="4">
        <f>(D12-C12)</f>
        <v>967582</v>
      </c>
      <c r="K28" s="4">
        <f>(E12-D12)</f>
        <v>653118</v>
      </c>
      <c r="L28" s="4">
        <f>(F12-E12)</f>
        <v>594931</v>
      </c>
    </row>
    <row r="29" spans="1:13" x14ac:dyDescent="0.35">
      <c r="B29" s="10"/>
      <c r="C29" s="10"/>
      <c r="D29" s="10"/>
      <c r="E29" s="10"/>
      <c r="F29" s="10"/>
      <c r="H29" t="s">
        <v>49</v>
      </c>
      <c r="J29" s="4">
        <f>J22+J25-J23-J24-J26-J27-J28</f>
        <v>854275.25</v>
      </c>
      <c r="K29" s="4">
        <f>K22+K25-K23-K24-K26-K27-K28</f>
        <v>524974.5</v>
      </c>
      <c r="L29" s="4">
        <f>L22+L25-L23-L24-L26-L27-L28</f>
        <v>1148972</v>
      </c>
    </row>
    <row r="30" spans="1:13" x14ac:dyDescent="0.35">
      <c r="B30" s="10"/>
      <c r="C30" s="10"/>
      <c r="D30" s="10"/>
      <c r="E30" s="10"/>
      <c r="F30" s="10"/>
      <c r="J30" s="4"/>
      <c r="K30" s="4"/>
      <c r="L30" s="4"/>
    </row>
    <row r="31" spans="1:13" x14ac:dyDescent="0.35">
      <c r="B31" s="4"/>
      <c r="C31" s="4"/>
      <c r="D31" s="4"/>
      <c r="E31" s="4"/>
      <c r="H31" s="12"/>
      <c r="I31" s="12"/>
      <c r="J31" s="12">
        <v>2017</v>
      </c>
      <c r="K31" s="12">
        <v>2018</v>
      </c>
      <c r="L31" s="12">
        <v>2019</v>
      </c>
      <c r="M31" s="12">
        <v>2020</v>
      </c>
    </row>
    <row r="32" spans="1:13" x14ac:dyDescent="0.35">
      <c r="A32" t="s">
        <v>50</v>
      </c>
      <c r="B32" s="10">
        <v>2000000</v>
      </c>
      <c r="C32" s="10">
        <v>1469851</v>
      </c>
      <c r="D32" s="10">
        <v>1334000</v>
      </c>
      <c r="E32" s="10">
        <v>1536634</v>
      </c>
      <c r="F32" s="10">
        <v>1339985</v>
      </c>
      <c r="H32" s="12" t="s">
        <v>51</v>
      </c>
      <c r="I32" s="12"/>
      <c r="J32" s="12"/>
      <c r="K32" s="12"/>
      <c r="L32" s="12"/>
      <c r="M32" s="12"/>
    </row>
    <row r="33" spans="1:15" x14ac:dyDescent="0.35">
      <c r="A33" t="s">
        <v>52</v>
      </c>
      <c r="B33" s="10">
        <v>5077013</v>
      </c>
      <c r="C33" s="10">
        <v>5339098</v>
      </c>
      <c r="D33" s="10">
        <v>5697197</v>
      </c>
      <c r="E33" s="10">
        <v>5964228</v>
      </c>
      <c r="F33" s="10">
        <v>6257978</v>
      </c>
      <c r="H33" s="12" t="s">
        <v>53</v>
      </c>
      <c r="I33" s="14"/>
      <c r="J33" s="14">
        <f>C3</f>
        <v>785375</v>
      </c>
      <c r="K33" s="14">
        <f>D3</f>
        <v>848205</v>
      </c>
      <c r="L33" s="14">
        <f>E3</f>
        <v>890615</v>
      </c>
      <c r="M33" s="14">
        <f>F3</f>
        <v>917334</v>
      </c>
    </row>
    <row r="34" spans="1:15" x14ac:dyDescent="0.35">
      <c r="A34" t="s">
        <v>54</v>
      </c>
      <c r="B34" s="10">
        <v>7077013</v>
      </c>
      <c r="C34" s="10">
        <f>C32+C33</f>
        <v>6808949</v>
      </c>
      <c r="D34" s="10">
        <f>D32+D33</f>
        <v>7031197</v>
      </c>
      <c r="E34" s="10">
        <f>E32+E33</f>
        <v>7500862</v>
      </c>
      <c r="F34" s="10">
        <f>F32+F33</f>
        <v>7597963</v>
      </c>
      <c r="H34" s="12" t="s">
        <v>55</v>
      </c>
      <c r="I34" s="15"/>
      <c r="J34" s="15"/>
      <c r="K34" s="15">
        <f>K33-J33</f>
        <v>62830</v>
      </c>
      <c r="L34" s="15">
        <f>L33-K33</f>
        <v>42410</v>
      </c>
      <c r="M34" s="15">
        <f>M33-L33</f>
        <v>26719</v>
      </c>
      <c r="N34" s="4"/>
      <c r="O34" s="4"/>
    </row>
    <row r="35" spans="1:15" x14ac:dyDescent="0.35">
      <c r="B35" s="4"/>
      <c r="C35" s="4"/>
      <c r="D35" s="4"/>
      <c r="E35" s="4"/>
      <c r="J35" s="4"/>
      <c r="K35" s="4"/>
      <c r="L35" s="4"/>
      <c r="M35" s="4"/>
    </row>
    <row r="36" spans="1:15" x14ac:dyDescent="0.35">
      <c r="A36" t="s">
        <v>56</v>
      </c>
      <c r="B36" s="4">
        <f>B34+B28</f>
        <v>12313263</v>
      </c>
      <c r="C36" s="4">
        <v>12549361</v>
      </c>
      <c r="D36" s="4">
        <f>D34+D28</f>
        <v>13097222</v>
      </c>
      <c r="E36" s="4">
        <f>E34+E28</f>
        <v>14103938</v>
      </c>
      <c r="F36" s="4">
        <f>F34+F28</f>
        <v>14339672</v>
      </c>
      <c r="H36" s="12" t="s">
        <v>57</v>
      </c>
      <c r="I36" s="12"/>
      <c r="J36" s="12"/>
      <c r="K36" s="17">
        <v>2018</v>
      </c>
      <c r="L36" s="17">
        <v>2019</v>
      </c>
      <c r="M36" s="17">
        <v>2020</v>
      </c>
    </row>
    <row r="37" spans="1:15" x14ac:dyDescent="0.35">
      <c r="B37" s="4"/>
      <c r="C37" s="4"/>
      <c r="D37" s="4"/>
      <c r="E37" s="4"/>
      <c r="H37" s="12" t="s">
        <v>58</v>
      </c>
      <c r="I37" s="12"/>
      <c r="J37" s="12"/>
      <c r="K37" s="12"/>
      <c r="L37" s="12"/>
      <c r="M37" s="12"/>
    </row>
    <row r="38" spans="1:15" x14ac:dyDescent="0.35">
      <c r="A38" t="s">
        <v>59</v>
      </c>
      <c r="B38" s="4">
        <v>537639.38</v>
      </c>
      <c r="C38" s="4">
        <v>611530.81000000006</v>
      </c>
      <c r="D38" s="4">
        <v>835565.59</v>
      </c>
      <c r="E38" s="4">
        <v>623071.39</v>
      </c>
      <c r="F38" s="4">
        <v>685416.38</v>
      </c>
      <c r="H38" s="12" t="s">
        <v>60</v>
      </c>
      <c r="I38" s="12"/>
      <c r="J38" s="12"/>
      <c r="K38" s="15">
        <f>J7+J10+J11</f>
        <v>679618</v>
      </c>
      <c r="L38" s="15">
        <f>K7+K10+K11</f>
        <v>788274</v>
      </c>
      <c r="M38" s="15">
        <f>L7+L10+L11</f>
        <v>743520</v>
      </c>
    </row>
    <row r="40" spans="1:15" x14ac:dyDescent="0.35">
      <c r="A40" s="3" t="s">
        <v>61</v>
      </c>
      <c r="B40" s="7">
        <v>0.21</v>
      </c>
      <c r="H40" s="18" t="s">
        <v>62</v>
      </c>
      <c r="I40" s="18"/>
      <c r="J40" s="18">
        <v>2017</v>
      </c>
      <c r="K40" s="18">
        <v>2018</v>
      </c>
      <c r="L40" s="18">
        <v>2019</v>
      </c>
      <c r="M40" s="18">
        <v>2020</v>
      </c>
    </row>
    <row r="41" spans="1:15" x14ac:dyDescent="0.35">
      <c r="A41" s="3" t="s">
        <v>63</v>
      </c>
      <c r="B41" s="7">
        <v>0.13500000000000001</v>
      </c>
      <c r="H41" s="18" t="s">
        <v>64</v>
      </c>
      <c r="I41" s="19">
        <f>(B11-B3-B4+B16+B15)-(B24-B23+B27)</f>
        <v>11592500</v>
      </c>
      <c r="J41" s="19">
        <f>(C11-C3-C4+C16+C15)-(C24-C23+C27)</f>
        <v>2702350</v>
      </c>
      <c r="K41" s="19">
        <f>(D11-D3-D4+D16+D15)-(D24-D23+D27)</f>
        <v>2799077</v>
      </c>
      <c r="L41" s="19">
        <f>(E11-E3-E4+E16+E15)-(E24-E23+E27)</f>
        <v>3384338</v>
      </c>
      <c r="M41" s="19">
        <f>(F11-F3-F4+F16+F15)-(F24-F23+F27)</f>
        <v>3430827</v>
      </c>
    </row>
    <row r="42" spans="1:15" x14ac:dyDescent="0.35">
      <c r="A42" s="3" t="s">
        <v>65</v>
      </c>
      <c r="B42" s="7">
        <v>0.03</v>
      </c>
      <c r="H42" s="18" t="s">
        <v>66</v>
      </c>
      <c r="I42" s="18"/>
      <c r="J42" s="19">
        <f>J41-I41</f>
        <v>-8890150</v>
      </c>
      <c r="K42" s="19">
        <f>K41-J41</f>
        <v>96727</v>
      </c>
      <c r="L42" s="19">
        <f>L41-K41</f>
        <v>585261</v>
      </c>
      <c r="M42" s="19">
        <f>M41-L41</f>
        <v>46489</v>
      </c>
    </row>
    <row r="43" spans="1:15" x14ac:dyDescent="0.35">
      <c r="A43" s="3" t="s">
        <v>67</v>
      </c>
      <c r="B43" s="7"/>
    </row>
    <row r="44" spans="1:15" x14ac:dyDescent="0.35">
      <c r="A44" s="3" t="s">
        <v>68</v>
      </c>
      <c r="B44" s="7">
        <v>4.0399999999999998E-2</v>
      </c>
      <c r="H44" s="18" t="s">
        <v>69</v>
      </c>
      <c r="I44" s="12"/>
      <c r="J44" s="12">
        <v>2017</v>
      </c>
      <c r="K44" s="12">
        <v>2018</v>
      </c>
      <c r="L44" s="12">
        <v>2019</v>
      </c>
      <c r="M44" s="12">
        <v>2020</v>
      </c>
    </row>
    <row r="45" spans="1:15" x14ac:dyDescent="0.35">
      <c r="A45" s="3" t="s">
        <v>70</v>
      </c>
      <c r="B45" s="8">
        <v>9000000</v>
      </c>
      <c r="H45" s="12" t="s">
        <v>71</v>
      </c>
      <c r="I45" s="12"/>
      <c r="J45" s="15">
        <f>C12</f>
        <v>12094775</v>
      </c>
      <c r="K45" s="15">
        <f>D12</f>
        <v>13062357</v>
      </c>
      <c r="L45" s="15">
        <f>E12</f>
        <v>13715475</v>
      </c>
      <c r="M45" s="15">
        <f>F12</f>
        <v>14310406</v>
      </c>
    </row>
    <row r="46" spans="1:15" x14ac:dyDescent="0.35">
      <c r="A46" s="3" t="s">
        <v>72</v>
      </c>
      <c r="B46" s="7">
        <v>0.02</v>
      </c>
      <c r="H46" s="12" t="s">
        <v>73</v>
      </c>
      <c r="I46" s="12"/>
      <c r="J46" s="12"/>
      <c r="K46" s="15">
        <f>K45-J45</f>
        <v>967582</v>
      </c>
      <c r="L46" s="15">
        <f>L45-K45</f>
        <v>653118</v>
      </c>
      <c r="M46" s="15">
        <f>M45-L45</f>
        <v>594931</v>
      </c>
    </row>
    <row r="48" spans="1:15" x14ac:dyDescent="0.35">
      <c r="H48" s="21" t="s">
        <v>74</v>
      </c>
    </row>
    <row r="49" spans="8:14" x14ac:dyDescent="0.35">
      <c r="H49" s="22" t="s">
        <v>75</v>
      </c>
      <c r="I49">
        <v>0.21</v>
      </c>
      <c r="K49" s="12" t="s">
        <v>76</v>
      </c>
      <c r="L49" s="12">
        <v>2017</v>
      </c>
    </row>
    <row r="50" spans="8:14" x14ac:dyDescent="0.35">
      <c r="H50" s="22" t="s">
        <v>63</v>
      </c>
      <c r="I50" s="2">
        <v>0.13500000000000001</v>
      </c>
      <c r="K50" s="12"/>
      <c r="L50" s="15">
        <f>C23+C26</f>
        <v>1610000</v>
      </c>
    </row>
    <row r="51" spans="8:14" x14ac:dyDescent="0.35">
      <c r="H51" s="22" t="s">
        <v>77</v>
      </c>
      <c r="I51" s="26">
        <v>2.5000000000000001E-2</v>
      </c>
      <c r="K51" s="12" t="s">
        <v>78</v>
      </c>
      <c r="L51" s="23">
        <f>I15/L50</f>
        <v>7.4999999999999997E-2</v>
      </c>
    </row>
    <row r="52" spans="8:14" x14ac:dyDescent="0.35">
      <c r="H52" s="22" t="s">
        <v>79</v>
      </c>
      <c r="I52" s="1">
        <v>0.03</v>
      </c>
    </row>
    <row r="53" spans="8:14" x14ac:dyDescent="0.35">
      <c r="H53" s="22" t="s">
        <v>80</v>
      </c>
      <c r="I53" s="2">
        <v>9.5299999999999996E-2</v>
      </c>
      <c r="K53" s="12" t="s">
        <v>81</v>
      </c>
      <c r="L53" s="23">
        <f>I52+I55*(I53-I54)</f>
        <v>0.13979999999999998</v>
      </c>
    </row>
    <row r="54" spans="8:14" x14ac:dyDescent="0.35">
      <c r="H54" s="22" t="s">
        <v>82</v>
      </c>
      <c r="I54" s="2">
        <v>4.0399999999999998E-2</v>
      </c>
    </row>
    <row r="55" spans="8:14" x14ac:dyDescent="0.35">
      <c r="H55" s="22" t="s">
        <v>83</v>
      </c>
      <c r="I55" s="6">
        <v>2</v>
      </c>
      <c r="K55" t="s">
        <v>84</v>
      </c>
      <c r="L55" s="4">
        <f>I56+I57</f>
        <v>10610000</v>
      </c>
    </row>
    <row r="56" spans="8:14" x14ac:dyDescent="0.35">
      <c r="H56" s="22" t="s">
        <v>85</v>
      </c>
      <c r="I56" s="6">
        <v>9000000</v>
      </c>
    </row>
    <row r="57" spans="8:14" ht="18.5" customHeight="1" x14ac:dyDescent="0.45">
      <c r="H57" s="22" t="s">
        <v>76</v>
      </c>
      <c r="I57" s="4">
        <f>L50</f>
        <v>1610000</v>
      </c>
      <c r="K57" s="24" t="s">
        <v>86</v>
      </c>
      <c r="L57" s="27">
        <f>L53*(I56/L55)+((I57/L55)*L51*(1-0.2))</f>
        <v>0.1276908576814326</v>
      </c>
      <c r="M57" s="2">
        <v>0.12759999999999999</v>
      </c>
    </row>
    <row r="59" spans="8:14" x14ac:dyDescent="0.35">
      <c r="L59" s="6">
        <v>1</v>
      </c>
      <c r="M59" s="6">
        <v>2</v>
      </c>
      <c r="N59" s="6">
        <v>3</v>
      </c>
    </row>
    <row r="60" spans="8:14" x14ac:dyDescent="0.35">
      <c r="K60" t="s">
        <v>87</v>
      </c>
      <c r="L60" s="4">
        <f>J29</f>
        <v>854275.25</v>
      </c>
      <c r="M60" s="4">
        <f>K29</f>
        <v>524974.5</v>
      </c>
      <c r="N60" s="4">
        <f>L29</f>
        <v>1148972</v>
      </c>
    </row>
    <row r="62" spans="8:14" x14ac:dyDescent="0.35">
      <c r="K62" t="s">
        <v>88</v>
      </c>
      <c r="N62" s="4">
        <f>(N60*(1+2.5%))/(12.76%-2.5%)</f>
        <v>11478521.442495124</v>
      </c>
    </row>
    <row r="64" spans="8:14" x14ac:dyDescent="0.35">
      <c r="K64" t="s">
        <v>89</v>
      </c>
      <c r="L64" s="4">
        <f>L60+L62</f>
        <v>854275.25</v>
      </c>
      <c r="M64" s="4">
        <f>M60+M62</f>
        <v>524974.5</v>
      </c>
      <c r="N64" s="4">
        <f>N60+N62</f>
        <v>12627493.442495124</v>
      </c>
    </row>
    <row r="66" spans="11:15" x14ac:dyDescent="0.35">
      <c r="K66" t="s">
        <v>90</v>
      </c>
      <c r="L66" s="4">
        <f>(L64)/(1+M57)^1</f>
        <v>757604.86874778289</v>
      </c>
      <c r="M66" s="4">
        <f>M64/(1+M57)^2</f>
        <v>412884.01966537064</v>
      </c>
      <c r="N66" s="4">
        <f>N64/(1+M57)^3</f>
        <v>8807485.7675294485</v>
      </c>
      <c r="O66" s="25">
        <f>N66+M66+L66</f>
        <v>9977974.6559426002</v>
      </c>
    </row>
    <row r="70" spans="11:15" x14ac:dyDescent="0.35">
      <c r="K70" t="s">
        <v>91</v>
      </c>
      <c r="L70">
        <v>1</v>
      </c>
      <c r="M70">
        <v>2</v>
      </c>
      <c r="N70">
        <v>3</v>
      </c>
    </row>
    <row r="72" spans="11:15" x14ac:dyDescent="0.35">
      <c r="K72" t="s">
        <v>87</v>
      </c>
      <c r="L72" s="4">
        <f>L60</f>
        <v>854275.25</v>
      </c>
      <c r="M72" s="4">
        <f>M60</f>
        <v>524974.5</v>
      </c>
      <c r="N72" s="4">
        <f>N60</f>
        <v>1148972</v>
      </c>
    </row>
    <row r="74" spans="11:15" x14ac:dyDescent="0.35">
      <c r="K74" t="s">
        <v>88</v>
      </c>
      <c r="N74" s="4">
        <f>N72*(1+I51)/(I50-I51)</f>
        <v>10706329.999999996</v>
      </c>
    </row>
    <row r="76" spans="11:15" x14ac:dyDescent="0.35">
      <c r="K76" t="s">
        <v>92</v>
      </c>
      <c r="L76" s="4">
        <f>J15*0.21</f>
        <v>28743.75</v>
      </c>
      <c r="M76" s="4">
        <f>K15*0.21</f>
        <v>33862.5</v>
      </c>
      <c r="N76" s="4">
        <f>L15*I49</f>
        <v>33075</v>
      </c>
    </row>
    <row r="78" spans="11:15" x14ac:dyDescent="0.35">
      <c r="K78" t="s">
        <v>93</v>
      </c>
      <c r="N78" s="4">
        <f>N76*(1+I51)/(I50-I51)</f>
        <v>308198.86363636359</v>
      </c>
    </row>
    <row r="80" spans="11:15" x14ac:dyDescent="0.35">
      <c r="K80" t="s">
        <v>94</v>
      </c>
      <c r="L80" s="4">
        <f>L72+L76</f>
        <v>883019</v>
      </c>
      <c r="M80" s="4">
        <f>M72+M76</f>
        <v>558837</v>
      </c>
      <c r="N80" s="4">
        <f>N72+N76+N74+N78</f>
        <v>12196575.86363636</v>
      </c>
    </row>
    <row r="82" spans="1:15" x14ac:dyDescent="0.35">
      <c r="K82" t="s">
        <v>90</v>
      </c>
      <c r="L82" s="4">
        <f>L80/(1+I50)</f>
        <v>777990.30837004399</v>
      </c>
      <c r="M82" s="4">
        <f>M80/(1+I50)^2</f>
        <v>433803.87742824433</v>
      </c>
      <c r="N82" s="4">
        <f>N80/(1+I50)^3</f>
        <v>8341618.7530763764</v>
      </c>
      <c r="O82" s="25">
        <f>N82+M82+L82</f>
        <v>9553412.9388746656</v>
      </c>
    </row>
    <row r="85" spans="1:15" x14ac:dyDescent="0.35">
      <c r="A85" t="s">
        <v>95</v>
      </c>
    </row>
    <row r="86" spans="1:15" x14ac:dyDescent="0.35">
      <c r="A86" t="s">
        <v>96</v>
      </c>
      <c r="B86">
        <v>1336347</v>
      </c>
    </row>
    <row r="87" spans="1:15" x14ac:dyDescent="0.35">
      <c r="A87" t="s">
        <v>97</v>
      </c>
      <c r="B87">
        <v>229681</v>
      </c>
    </row>
    <row r="88" spans="1:15" x14ac:dyDescent="0.35">
      <c r="A88" t="s">
        <v>98</v>
      </c>
      <c r="B88">
        <v>743520</v>
      </c>
    </row>
    <row r="89" spans="1:15" x14ac:dyDescent="0.35">
      <c r="A89" t="s">
        <v>99</v>
      </c>
      <c r="B89">
        <v>46489</v>
      </c>
    </row>
    <row r="90" spans="1:15" x14ac:dyDescent="0.35">
      <c r="A90" t="s">
        <v>100</v>
      </c>
      <c r="B90">
        <v>594931</v>
      </c>
    </row>
    <row r="91" spans="1:15" x14ac:dyDescent="0.35">
      <c r="A91" t="s">
        <v>101</v>
      </c>
      <c r="B91">
        <f>B86-B87+B88-B89-B90</f>
        <v>1208766</v>
      </c>
    </row>
    <row r="93" spans="1:15" x14ac:dyDescent="0.35">
      <c r="A93" t="s">
        <v>102</v>
      </c>
      <c r="B93">
        <v>0.12759999999999999</v>
      </c>
    </row>
    <row r="94" spans="1:15" x14ac:dyDescent="0.35">
      <c r="A94" t="s">
        <v>103</v>
      </c>
      <c r="B94">
        <v>2.5000000000000001E-2</v>
      </c>
    </row>
    <row r="95" spans="1:15" x14ac:dyDescent="0.35">
      <c r="A95" t="s">
        <v>104</v>
      </c>
      <c r="B95">
        <f>B91*(1+B94)/(B93-B94)</f>
        <v>12075878.65497076</v>
      </c>
    </row>
    <row r="97" spans="1:2" x14ac:dyDescent="0.35">
      <c r="A97" t="s">
        <v>105</v>
      </c>
      <c r="B97">
        <f>B91/(1+B93)^1</f>
        <v>1071981.19900674</v>
      </c>
    </row>
    <row r="98" spans="1:2" x14ac:dyDescent="0.35">
      <c r="A98" t="s">
        <v>106</v>
      </c>
      <c r="B98">
        <f>B91/(1+B93)^2</f>
        <v>950675.06119788939</v>
      </c>
    </row>
    <row r="99" spans="1:2" x14ac:dyDescent="0.35">
      <c r="A99" t="s">
        <v>107</v>
      </c>
      <c r="B99">
        <f>B95/(1+B93)^3</f>
        <v>8422742.7928128727</v>
      </c>
    </row>
    <row r="100" spans="1:2" x14ac:dyDescent="0.35">
      <c r="A100" t="s">
        <v>108</v>
      </c>
      <c r="B100">
        <f>SUM(B97:B99)</f>
        <v>10445399.053017503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ACC5-AFC2-4722-AC46-DF56F9BA0965}">
  <dimension ref="A1:A110"/>
  <sheetViews>
    <sheetView topLeftCell="A52" workbookViewId="0">
      <selection activeCell="H101" sqref="H101"/>
    </sheetView>
  </sheetViews>
  <sheetFormatPr defaultRowHeight="14.5" x14ac:dyDescent="0.35"/>
  <sheetData>
    <row r="1" spans="1:1" ht="31" x14ac:dyDescent="0.35">
      <c r="A1" s="28" t="s">
        <v>155</v>
      </c>
    </row>
    <row r="5" spans="1:1" ht="23.5" x14ac:dyDescent="0.35">
      <c r="A5" s="29" t="s">
        <v>109</v>
      </c>
    </row>
    <row r="7" spans="1:1" x14ac:dyDescent="0.35">
      <c r="A7" t="s">
        <v>110</v>
      </c>
    </row>
    <row r="8" spans="1:1" x14ac:dyDescent="0.35">
      <c r="A8" t="s">
        <v>111</v>
      </c>
    </row>
    <row r="9" spans="1:1" x14ac:dyDescent="0.35">
      <c r="A9" t="s">
        <v>112</v>
      </c>
    </row>
    <row r="10" spans="1:1" x14ac:dyDescent="0.35">
      <c r="A10" t="s">
        <v>113</v>
      </c>
    </row>
    <row r="14" spans="1:1" ht="23.5" x14ac:dyDescent="0.35">
      <c r="A14" s="29" t="s">
        <v>114</v>
      </c>
    </row>
    <row r="16" spans="1:1" x14ac:dyDescent="0.35">
      <c r="A16" s="3" t="s">
        <v>115</v>
      </c>
    </row>
    <row r="20" spans="1:1" ht="23.5" x14ac:dyDescent="0.35">
      <c r="A20" s="29" t="s">
        <v>116</v>
      </c>
    </row>
    <row r="22" spans="1:1" x14ac:dyDescent="0.35">
      <c r="A22" s="3" t="s">
        <v>117</v>
      </c>
    </row>
    <row r="26" spans="1:1" ht="23.5" x14ac:dyDescent="0.35">
      <c r="A26" s="29" t="s">
        <v>118</v>
      </c>
    </row>
    <row r="28" spans="1:1" x14ac:dyDescent="0.35">
      <c r="A28" s="3" t="s">
        <v>119</v>
      </c>
    </row>
    <row r="29" spans="1:1" x14ac:dyDescent="0.35">
      <c r="A29" t="s">
        <v>120</v>
      </c>
    </row>
    <row r="31" spans="1:1" x14ac:dyDescent="0.35">
      <c r="A31" s="3" t="s">
        <v>121</v>
      </c>
    </row>
    <row r="32" spans="1:1" x14ac:dyDescent="0.35">
      <c r="A32" t="s">
        <v>122</v>
      </c>
    </row>
    <row r="36" spans="1:1" ht="23.5" x14ac:dyDescent="0.35">
      <c r="A36" s="29" t="s">
        <v>123</v>
      </c>
    </row>
    <row r="38" spans="1:1" x14ac:dyDescent="0.35">
      <c r="A38" s="3" t="s">
        <v>124</v>
      </c>
    </row>
    <row r="42" spans="1:1" ht="23.5" x14ac:dyDescent="0.35">
      <c r="A42" s="29" t="s">
        <v>125</v>
      </c>
    </row>
    <row r="44" spans="1:1" x14ac:dyDescent="0.35">
      <c r="A44" s="3" t="s">
        <v>126</v>
      </c>
    </row>
    <row r="48" spans="1:1" ht="23.5" x14ac:dyDescent="0.35">
      <c r="A48" s="29" t="s">
        <v>127</v>
      </c>
    </row>
    <row r="50" spans="1:1" ht="17.5" x14ac:dyDescent="0.35">
      <c r="A50" s="30" t="s">
        <v>128</v>
      </c>
    </row>
    <row r="52" spans="1:1" x14ac:dyDescent="0.35">
      <c r="A52" s="3" t="s">
        <v>129</v>
      </c>
    </row>
    <row r="54" spans="1:1" ht="17.5" x14ac:dyDescent="0.35">
      <c r="A54" s="30" t="s">
        <v>130</v>
      </c>
    </row>
    <row r="56" spans="1:1" x14ac:dyDescent="0.35">
      <c r="A56" s="3" t="s">
        <v>131</v>
      </c>
    </row>
    <row r="58" spans="1:1" ht="17.5" x14ac:dyDescent="0.35">
      <c r="A58" s="30" t="s">
        <v>132</v>
      </c>
    </row>
    <row r="60" spans="1:1" x14ac:dyDescent="0.35">
      <c r="A60" s="3" t="s">
        <v>133</v>
      </c>
    </row>
    <row r="64" spans="1:1" ht="23.5" x14ac:dyDescent="0.35">
      <c r="A64" s="29" t="s">
        <v>134</v>
      </c>
    </row>
    <row r="66" spans="1:1" x14ac:dyDescent="0.35">
      <c r="A66" s="3" t="s">
        <v>135</v>
      </c>
    </row>
    <row r="70" spans="1:1" ht="23.5" x14ac:dyDescent="0.35">
      <c r="A70" s="29" t="s">
        <v>136</v>
      </c>
    </row>
    <row r="72" spans="1:1" x14ac:dyDescent="0.35">
      <c r="A72" s="3" t="s">
        <v>137</v>
      </c>
    </row>
    <row r="76" spans="1:1" ht="23.5" x14ac:dyDescent="0.35">
      <c r="A76" s="29" t="s">
        <v>138</v>
      </c>
    </row>
    <row r="78" spans="1:1" x14ac:dyDescent="0.35">
      <c r="A78" s="3" t="s">
        <v>139</v>
      </c>
    </row>
    <row r="82" spans="1:1" ht="23.5" x14ac:dyDescent="0.35">
      <c r="A82" s="29" t="s">
        <v>140</v>
      </c>
    </row>
    <row r="84" spans="1:1" x14ac:dyDescent="0.35">
      <c r="A84" s="3" t="s">
        <v>141</v>
      </c>
    </row>
    <row r="88" spans="1:1" ht="23.5" x14ac:dyDescent="0.35">
      <c r="A88" s="29" t="s">
        <v>142</v>
      </c>
    </row>
    <row r="90" spans="1:1" x14ac:dyDescent="0.35">
      <c r="A90" s="3" t="s">
        <v>143</v>
      </c>
    </row>
    <row r="92" spans="1:1" x14ac:dyDescent="0.35">
      <c r="A92" s="3" t="s">
        <v>144</v>
      </c>
    </row>
    <row r="96" spans="1:1" ht="23.5" x14ac:dyDescent="0.35">
      <c r="A96" s="29" t="s">
        <v>145</v>
      </c>
    </row>
    <row r="98" spans="1:1" x14ac:dyDescent="0.35">
      <c r="A98" t="s">
        <v>146</v>
      </c>
    </row>
    <row r="99" spans="1:1" x14ac:dyDescent="0.35">
      <c r="A99" t="s">
        <v>147</v>
      </c>
    </row>
    <row r="100" spans="1:1" x14ac:dyDescent="0.35">
      <c r="A100" t="s">
        <v>148</v>
      </c>
    </row>
    <row r="101" spans="1:1" x14ac:dyDescent="0.35">
      <c r="A101" t="s">
        <v>149</v>
      </c>
    </row>
    <row r="102" spans="1:1" x14ac:dyDescent="0.35">
      <c r="A102" t="s">
        <v>150</v>
      </c>
    </row>
    <row r="103" spans="1:1" x14ac:dyDescent="0.35">
      <c r="A103" t="s">
        <v>151</v>
      </c>
    </row>
    <row r="104" spans="1:1" x14ac:dyDescent="0.35">
      <c r="A104" t="s">
        <v>152</v>
      </c>
    </row>
    <row r="108" spans="1:1" ht="23.5" x14ac:dyDescent="0.35">
      <c r="A108" s="29" t="s">
        <v>153</v>
      </c>
    </row>
    <row r="110" spans="1:1" x14ac:dyDescent="0.35">
      <c r="A110" s="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last year exam</vt:lpstr>
      <vt:lpstr>formulas used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zakaria keita</cp:lastModifiedBy>
  <cp:lastPrinted>2014-10-01T15:11:30Z</cp:lastPrinted>
  <dcterms:created xsi:type="dcterms:W3CDTF">2014-06-24T17:09:09Z</dcterms:created>
  <dcterms:modified xsi:type="dcterms:W3CDTF">2026-02-05T13:23:45Z</dcterms:modified>
</cp:coreProperties>
</file>